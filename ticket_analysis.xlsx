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323f82d4760122/Desktop/"/>
    </mc:Choice>
  </mc:AlternateContent>
  <xr:revisionPtr revIDLastSave="0" documentId="8_{5E44248D-8B11-43DD-BA4A-9906D63A7BA0}" xr6:coauthVersionLast="47" xr6:coauthVersionMax="47" xr10:uidLastSave="{00000000-0000-0000-0000-000000000000}"/>
  <bookViews>
    <workbookView xWindow="-108" yWindow="-108" windowWidth="23256" windowHeight="13896" xr2:uid="{F315D488-3239-4674-A816-1DBBEDDDF547}"/>
  </bookViews>
  <sheets>
    <sheet name="ticket" sheetId="4" r:id="rId1"/>
    <sheet name="feedbacks" sheetId="2" r:id="rId2"/>
    <sheet name="count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4" l="1"/>
  <c r="K3" i="4"/>
  <c r="K2" i="4"/>
  <c r="C2" i="6" s="1"/>
  <c r="C3" i="6"/>
  <c r="B3" i="6"/>
  <c r="B2" i="6"/>
  <c r="D2" i="2"/>
  <c r="J3" i="4"/>
  <c r="I3" i="4"/>
  <c r="H3" i="4"/>
  <c r="G3" i="4"/>
  <c r="F3" i="4"/>
  <c r="I2" i="4"/>
  <c r="H2" i="4"/>
  <c r="G2" i="4"/>
  <c r="F2" i="4"/>
</calcChain>
</file>

<file path=xl/sharedStrings.xml><?xml version="1.0" encoding="utf-8"?>
<sst xmlns="http://schemas.openxmlformats.org/spreadsheetml/2006/main" count="28" uniqueCount="25">
  <si>
    <t>cms_id</t>
  </si>
  <si>
    <t>vew-iuvd-12</t>
  </si>
  <si>
    <t>8woh-k3u-23b</t>
  </si>
  <si>
    <t>cms_id </t>
  </si>
  <si>
    <t>feedback_at </t>
  </si>
  <si>
    <t>feedback_rating </t>
  </si>
  <si>
    <t>ticket_created_at</t>
  </si>
  <si>
    <t>vew-iuvd-12 </t>
  </si>
  <si>
    <t>2021-08-21 13:26:48 </t>
  </si>
  <si>
    <t>3 </t>
  </si>
  <si>
    <t>created_date</t>
  </si>
  <si>
    <t>ticket_id</t>
  </si>
  <si>
    <t>created_at</t>
  </si>
  <si>
    <t>closed_at</t>
  </si>
  <si>
    <t>outlet_id</t>
  </si>
  <si>
    <t>isu-sjd-457</t>
  </si>
  <si>
    <t>wrqy-juv-978</t>
  </si>
  <si>
    <t>qer-fal-092</t>
  </si>
  <si>
    <t>closed_date</t>
  </si>
  <si>
    <t>created_hour</t>
  </si>
  <si>
    <t>closed_hour</t>
  </si>
  <si>
    <t>same_day_count</t>
  </si>
  <si>
    <t>same_hour_count</t>
  </si>
  <si>
    <t>same_day?</t>
  </si>
  <si>
    <t>same_hour?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</si>
</sst>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dd/mm/yyyy\ hh:mm:ss"/>
    <numFmt numFmtId="179" formatCode="dd/mm/yyyy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1"/>
      <color rgb="FF3C4042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78" fontId="1" fillId="0" borderId="0" xfId="0" applyNumberFormat="1" applyFont="1" applyAlignment="1">
      <alignment horizontal="center" vertical="center" wrapText="1"/>
    </xf>
    <xf numFmtId="178" fontId="0" fillId="0" borderId="0" xfId="0" applyNumberFormat="1" applyAlignment="1">
      <alignment vertical="center" wrapText="1"/>
    </xf>
    <xf numFmtId="178" fontId="0" fillId="0" borderId="0" xfId="0" applyNumberFormat="1"/>
    <xf numFmtId="0" fontId="0" fillId="0" borderId="0" xfId="0" applyFont="1"/>
    <xf numFmtId="0" fontId="1" fillId="0" borderId="0" xfId="0" applyFont="1"/>
    <xf numFmtId="179" fontId="1" fillId="0" borderId="0" xfId="0" applyNumberFormat="1" applyFont="1" applyAlignment="1">
      <alignment horizontal="center" vertical="center" wrapText="1"/>
    </xf>
    <xf numFmtId="179" fontId="0" fillId="0" borderId="0" xfId="0" applyNumberFormat="1"/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right" vertical="center" wrapText="1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BC67-B8D4-47F1-B5A4-1C2ECCE48A8E}">
  <dimension ref="A1:K3"/>
  <sheetViews>
    <sheetView tabSelected="1" workbookViewId="0">
      <selection activeCell="B26" sqref="B26"/>
    </sheetView>
  </sheetViews>
  <sheetFormatPr defaultRowHeight="14.4" x14ac:dyDescent="0.3"/>
  <cols>
    <col min="1" max="1" width="14" customWidth="1"/>
    <col min="2" max="2" width="18.109375" style="6" customWidth="1"/>
    <col min="3" max="3" width="18.6640625" style="6" customWidth="1"/>
    <col min="4" max="4" width="13.88671875" customWidth="1"/>
    <col min="5" max="5" width="15" customWidth="1"/>
    <col min="6" max="7" width="18" style="10" bestFit="1" customWidth="1"/>
    <col min="8" max="8" width="12.77734375" customWidth="1"/>
    <col min="9" max="9" width="11.77734375" customWidth="1"/>
    <col min="10" max="10" width="11.44140625" customWidth="1"/>
    <col min="11" max="11" width="12.21875" customWidth="1"/>
  </cols>
  <sheetData>
    <row r="1" spans="1:11" x14ac:dyDescent="0.3">
      <c r="A1" s="1" t="s">
        <v>11</v>
      </c>
      <c r="B1" s="4" t="s">
        <v>12</v>
      </c>
      <c r="C1" s="4" t="s">
        <v>13</v>
      </c>
      <c r="D1" s="1" t="s">
        <v>14</v>
      </c>
      <c r="E1" s="1" t="s">
        <v>0</v>
      </c>
      <c r="F1" s="9" t="s">
        <v>10</v>
      </c>
      <c r="G1" s="9" t="s">
        <v>18</v>
      </c>
      <c r="H1" s="1" t="s">
        <v>19</v>
      </c>
      <c r="I1" s="1" t="s">
        <v>20</v>
      </c>
      <c r="J1" s="1" t="s">
        <v>23</v>
      </c>
      <c r="K1" s="1" t="s">
        <v>24</v>
      </c>
    </row>
    <row r="2" spans="1:11" x14ac:dyDescent="0.3">
      <c r="A2" s="2" t="s">
        <v>15</v>
      </c>
      <c r="B2" s="5">
        <v>44427.698414351849</v>
      </c>
      <c r="C2" s="5">
        <v>44430.523287037038</v>
      </c>
      <c r="D2" s="2" t="s">
        <v>16</v>
      </c>
      <c r="E2" s="2" t="s">
        <v>1</v>
      </c>
      <c r="F2" s="10">
        <f>INT(B2)</f>
        <v>44427</v>
      </c>
      <c r="G2" s="10">
        <f>INT(C2)</f>
        <v>44430</v>
      </c>
      <c r="H2">
        <f>HOUR(B2)</f>
        <v>16</v>
      </c>
      <c r="I2">
        <f>HOUR(C2)</f>
        <v>12</v>
      </c>
      <c r="J2" t="b">
        <f>IF(F2=G2,TRUE,FALSE)</f>
        <v>0</v>
      </c>
      <c r="K2" t="b">
        <f>H2=I2</f>
        <v>0</v>
      </c>
    </row>
    <row r="3" spans="1:11" x14ac:dyDescent="0.3">
      <c r="A3" s="2" t="s">
        <v>17</v>
      </c>
      <c r="B3" s="5">
        <v>44429.464837962965</v>
      </c>
      <c r="C3" s="5">
        <v>44429.717881944445</v>
      </c>
      <c r="D3" s="2" t="s">
        <v>2</v>
      </c>
      <c r="E3" s="3"/>
      <c r="F3" s="10">
        <f>INT(B3)</f>
        <v>44429</v>
      </c>
      <c r="G3" s="10">
        <f>INT(C3)</f>
        <v>44429</v>
      </c>
      <c r="H3">
        <f>HOUR(B3)</f>
        <v>11</v>
      </c>
      <c r="I3">
        <f>HOUR(C3)</f>
        <v>17</v>
      </c>
      <c r="J3" t="b">
        <f>IF(F3=G3,TRUE,FALSE)</f>
        <v>1</v>
      </c>
      <c r="K3" t="b">
        <f>H3=I3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D4BA-0B64-418C-8794-BF336755F4BE}">
  <dimension ref="A1:D22"/>
  <sheetViews>
    <sheetView zoomScale="115" workbookViewId="0">
      <selection activeCell="F13" sqref="F13"/>
    </sheetView>
  </sheetViews>
  <sheetFormatPr defaultRowHeight="14.4" x14ac:dyDescent="0.3"/>
  <cols>
    <col min="1" max="1" width="11.88671875" style="7" customWidth="1"/>
    <col min="2" max="2" width="19" style="7" customWidth="1"/>
    <col min="3" max="3" width="14.77734375" style="7" customWidth="1"/>
    <col min="4" max="4" width="37.44140625" style="7" customWidth="1"/>
    <col min="5" max="16384" width="8.88671875" style="7"/>
  </cols>
  <sheetData>
    <row r="1" spans="1:4" s="7" customFormat="1" ht="30.6" customHeight="1" x14ac:dyDescent="0.3">
      <c r="A1" s="11" t="s">
        <v>3</v>
      </c>
      <c r="B1" s="11" t="s">
        <v>4</v>
      </c>
      <c r="C1" s="11" t="s">
        <v>5</v>
      </c>
      <c r="D1" s="11" t="s">
        <v>6</v>
      </c>
    </row>
    <row r="2" spans="1:4" s="7" customFormat="1" ht="24.6" customHeight="1" x14ac:dyDescent="0.3">
      <c r="A2" s="12" t="s">
        <v>7</v>
      </c>
      <c r="B2" s="13" t="s">
        <v>8</v>
      </c>
      <c r="C2" s="14" t="s">
        <v>9</v>
      </c>
      <c r="D2" s="15">
        <f>_xlfn.XLOOKUP(A2, ticket!$E:$E, ticket!$B:$B,1,TRUE)</f>
        <v>44429.464837962965</v>
      </c>
    </row>
    <row r="3" spans="1:4" s="7" customFormat="1" x14ac:dyDescent="0.3">
      <c r="A3" s="16"/>
      <c r="B3" s="16"/>
      <c r="C3" s="16"/>
      <c r="D3" s="15"/>
    </row>
    <row r="4" spans="1:4" s="7" customFormat="1" x14ac:dyDescent="0.3">
      <c r="A4" s="16"/>
      <c r="B4" s="16"/>
      <c r="C4" s="16"/>
      <c r="D4" s="15"/>
    </row>
    <row r="15" spans="1:4" s="7" customFormat="1" x14ac:dyDescent="0.3"/>
    <row r="22" s="7" customForma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5216-E6B5-4EE7-8C7B-9DC0D3DB9CAB}">
  <dimension ref="A1:C3"/>
  <sheetViews>
    <sheetView workbookViewId="0">
      <selection activeCell="C24" sqref="C24"/>
    </sheetView>
  </sheetViews>
  <sheetFormatPr defaultRowHeight="14.4" x14ac:dyDescent="0.3"/>
  <cols>
    <col min="1" max="1" width="13.77734375" customWidth="1"/>
    <col min="2" max="2" width="19.6640625" customWidth="1"/>
    <col min="3" max="3" width="15.6640625" customWidth="1"/>
  </cols>
  <sheetData>
    <row r="1" spans="1:3" s="8" customFormat="1" x14ac:dyDescent="0.3">
      <c r="A1" s="8" t="s">
        <v>14</v>
      </c>
      <c r="B1" s="8" t="s">
        <v>21</v>
      </c>
      <c r="C1" s="8" t="s">
        <v>22</v>
      </c>
    </row>
    <row r="2" spans="1:3" x14ac:dyDescent="0.3">
      <c r="A2" t="s">
        <v>16</v>
      </c>
      <c r="B2">
        <f>COUNTIFS(ticket!$D:$D, A2, ticket!$J:$J, TRUE)</f>
        <v>0</v>
      </c>
      <c r="C2">
        <f>COUNTIFS(ticket!$D:$D, A2, ticket!$K:$K, TRUE)</f>
        <v>0</v>
      </c>
    </row>
    <row r="3" spans="1:3" x14ac:dyDescent="0.3">
      <c r="A3" t="s">
        <v>2</v>
      </c>
      <c r="B3">
        <f>COUNTIFS(ticket!$D:$D, A3, ticket!$J:$J, TRUE)</f>
        <v>1</v>
      </c>
      <c r="C3">
        <f>COUNTIFS(ticket!$D:$D, A3, ticket!$K:$K, TRUE)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feedbacks</vt:lpstr>
      <vt:lpstr>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Reddy Kistapati</dc:creator>
  <cp:lastModifiedBy>Balaji Reddy Kistapati</cp:lastModifiedBy>
  <dcterms:created xsi:type="dcterms:W3CDTF">2025-12-02T15:35:01Z</dcterms:created>
  <dcterms:modified xsi:type="dcterms:W3CDTF">2025-12-02T17:37:39Z</dcterms:modified>
</cp:coreProperties>
</file>